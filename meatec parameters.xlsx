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age2" sheetId="2" r:id="rId6"/>
  </sheets>
  <definedNames/>
  <calcPr/>
</workbook>
</file>

<file path=xl/sharedStrings.xml><?xml version="1.0" encoding="utf-8"?>
<sst xmlns="http://schemas.openxmlformats.org/spreadsheetml/2006/main" count="180" uniqueCount="106">
  <si>
    <t>DATA FOR 26650 LFP CELL</t>
  </si>
  <si>
    <t>Paper Name</t>
  </si>
  <si>
    <t>Parameter</t>
  </si>
  <si>
    <t>Unit</t>
  </si>
  <si>
    <t>Thickness of the anode</t>
  </si>
  <si>
    <t>Simplified Electrochemical and Thermal Model of
LiFePO4-Graphite Li-Ion Batteries for Fast Charge Applications</t>
  </si>
  <si>
    <t>m</t>
  </si>
  <si>
    <t>Left default, parameters for computation efficiency</t>
  </si>
  <si>
    <t>Electrolyte layer count of the anode</t>
  </si>
  <si>
    <t xml:space="preserve">Different resources </t>
  </si>
  <si>
    <t>Thickness of the separator</t>
  </si>
  <si>
    <t>Do not trust matlab default numbers, those were incorrect in defaults.</t>
  </si>
  <si>
    <t>Electrolyte layer count of the separator</t>
  </si>
  <si>
    <t>Current dependant, see page2.</t>
  </si>
  <si>
    <t>Thickness of the cathode</t>
  </si>
  <si>
    <t>Misleading data, see page2.</t>
  </si>
  <si>
    <t>Electrolyte layer count of the cathode</t>
  </si>
  <si>
    <t>Area of the electrode plate</t>
  </si>
  <si>
    <t>m^2</t>
  </si>
  <si>
    <t>Particle radius of the anode</t>
  </si>
  <si>
    <t>Number of shells for the anode</t>
  </si>
  <si>
    <t>Particle radius of the cathode</t>
  </si>
  <si>
    <t>Number of shells for the cathode</t>
  </si>
  <si>
    <t>Alternative Data:</t>
  </si>
  <si>
    <t>Volume fraction of the active material in the anode</t>
  </si>
  <si>
    <t>Modeling of a Commercial Graphite/LiFePO4 Cell</t>
  </si>
  <si>
    <t>Volume fraction of the active material in the cathode</t>
  </si>
  <si>
    <t>stoichiometry breakpoints parameters</t>
  </si>
  <si>
    <t>Maximum ion concentration in the anode.</t>
  </si>
  <si>
    <t>mol/m^3</t>
  </si>
  <si>
    <t>Minimum stoichiometry in the anode.</t>
  </si>
  <si>
    <t>Maximum stoichiometry in the anode</t>
  </si>
  <si>
    <t>Maximum ion concentration in the cathode</t>
  </si>
  <si>
    <t>Maximum stoichiometry in the cathode.</t>
  </si>
  <si>
    <t>Minimum stoichiometry in the cathode.</t>
  </si>
  <si>
    <t>Diffusion coefficient of the active material in the anode</t>
  </si>
  <si>
    <t>m^2/s</t>
  </si>
  <si>
    <t>Diffusion coefficient of the active material in the cathode</t>
  </si>
  <si>
    <t>Conductivity of the anode</t>
  </si>
  <si>
    <t>Extended Single Particle Model of Li-Ion Batteries
Towards High Current Applications</t>
  </si>
  <si>
    <t>S/m</t>
  </si>
  <si>
    <t>Conductivity of the cathode</t>
  </si>
  <si>
    <t>Resistance of the current collector.</t>
  </si>
  <si>
    <t>ohm</t>
  </si>
  <si>
    <t>Fraction of the volume of the electrolyte in the anode</t>
  </si>
  <si>
    <t>Fraction of the volume of the electrolyte in the separator</t>
  </si>
  <si>
    <t>Fraction of the volume of the electrolyte in the cathode</t>
  </si>
  <si>
    <t>Conductivity of the electrolyte</t>
  </si>
  <si>
    <t>Bruggeman exponent of the anode</t>
  </si>
  <si>
    <t>Bruggeman exponent of the separator</t>
  </si>
  <si>
    <t>Bruggeman exponent of the cathode</t>
  </si>
  <si>
    <t>Fraction of the total electric current that an ion carries in an electrolyte</t>
  </si>
  <si>
    <t>LIONSIMBA: AMatlab Framework Based on a Finite Volume
Model Suitable for Li-Ion Battery Design, Simulation, and Control</t>
  </si>
  <si>
    <t>Diffusion coefficient of the electrolyte that the block uses inside the Fick's Law equation</t>
  </si>
  <si>
    <t>Rate constant of the charge transfer for the anode.</t>
  </si>
  <si>
    <t>m^2.5/((mol^0.5)*s)</t>
  </si>
  <si>
    <t>Rate constant of the charge transfer for the cathode.</t>
  </si>
  <si>
    <t>Thermal mass at the thermal port H</t>
  </si>
  <si>
    <t>J/K</t>
  </si>
  <si>
    <t>Arrhenius reference temperature</t>
  </si>
  <si>
    <t>K</t>
  </si>
  <si>
    <t>Activation energy for the diffusion inside the active material of the anode</t>
  </si>
  <si>
    <t>J/mol</t>
  </si>
  <si>
    <t>Activation energy for the diffusion inside the active material of the cathode</t>
  </si>
  <si>
    <t>Activation energy for the diffusion inside the electrolyte</t>
  </si>
  <si>
    <t>Activation energy for the conduction inside the anode</t>
  </si>
  <si>
    <t>https://iestbattery.com/activation-energy-arrhenius-plot-conductivity-battery/</t>
  </si>
  <si>
    <t>Activation energy for the conduction inside the cathode</t>
  </si>
  <si>
    <t>Activation energy for the conduction inside the electrolyte</t>
  </si>
  <si>
    <t>Activation energy for the charge transfer inside the anode</t>
  </si>
  <si>
    <t>Activation energy for the charge transfer inside the cathode</t>
  </si>
  <si>
    <t>Current parameters:</t>
  </si>
  <si>
    <t>Constants for rate equation:</t>
  </si>
  <si>
    <t>Capacity</t>
  </si>
  <si>
    <t>C rate</t>
  </si>
  <si>
    <t>W1</t>
  </si>
  <si>
    <t>W2</t>
  </si>
  <si>
    <t>W3</t>
  </si>
  <si>
    <t>Rate</t>
  </si>
  <si>
    <t>Li-Ion Battery Electrode Contact Resistance
Estimation by Mechanical Peel Test</t>
  </si>
  <si>
    <t>Rc1</t>
  </si>
  <si>
    <t>Graphite, calend.</t>
  </si>
  <si>
    <t>ohm*m^2</t>
  </si>
  <si>
    <t>eV cathode</t>
  </si>
  <si>
    <t>Rc2</t>
  </si>
  <si>
    <t>Area</t>
  </si>
  <si>
    <t>Rc3</t>
  </si>
  <si>
    <t>Resistance at anode</t>
  </si>
  <si>
    <t>eV anode</t>
  </si>
  <si>
    <t>Rc4</t>
  </si>
  <si>
    <t>Contact Resistance</t>
  </si>
  <si>
    <t>Resistance at cathod</t>
  </si>
  <si>
    <t>ohm, this value is neglected.</t>
  </si>
  <si>
    <t>OCV Voltage</t>
  </si>
  <si>
    <t>Charge Discharge Experiment Parameters</t>
  </si>
  <si>
    <t>0% SOC</t>
  </si>
  <si>
    <t>Time</t>
  </si>
  <si>
    <t>Current</t>
  </si>
  <si>
    <t>100% SOC</t>
  </si>
  <si>
    <t>Ah</t>
  </si>
  <si>
    <t>C/30</t>
  </si>
  <si>
    <t>A</t>
  </si>
  <si>
    <t>Simulation Duration</t>
  </si>
  <si>
    <t>1C</t>
  </si>
  <si>
    <t>Stop time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</si>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</sst>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212121"/>
      <name val="Roboto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  <font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ont="1"/>
    <xf borderId="1" fillId="0" fontId="1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7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7" fontId="1" numFmtId="11" xfId="0" applyFont="1" applyNumberFormat="1"/>
    <xf borderId="0" fillId="4" fontId="8" numFmtId="0" xfId="0" applyFont="1"/>
    <xf borderId="2" fillId="0" fontId="9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1" fillId="0" fontId="1" numFmtId="11" xfId="0" applyAlignment="1" applyBorder="1" applyFont="1" applyNumberFormat="1">
      <alignment readingOrder="0"/>
    </xf>
    <xf borderId="0" fillId="6" fontId="1" numFmtId="11" xfId="0" applyFont="1" applyNumberFormat="1"/>
    <xf borderId="0" fillId="0" fontId="1" numFmtId="0" xfId="0" applyFont="1"/>
    <xf borderId="0" fillId="5" fontId="1" numFmtId="0" xfId="0" applyFont="1"/>
    <xf borderId="0" fillId="0" fontId="10" numFmtId="0" xfId="0" applyAlignment="1" applyFont="1">
      <alignment readingOrder="0"/>
    </xf>
    <xf borderId="0" fillId="2" fontId="2" numFmtId="0" xfId="0" applyFont="1"/>
    <xf borderId="1" fillId="0" fontId="11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/>
    </xf>
    <xf borderId="12" fillId="8" fontId="1" numFmtId="0" xfId="0" applyAlignment="1" applyBorder="1" applyFill="1" applyFont="1">
      <alignment horizontal="center" readingOrder="0"/>
    </xf>
    <xf borderId="12" fillId="9" fontId="1" numFmtId="0" xfId="0" applyAlignment="1" applyBorder="1" applyFill="1" applyFont="1">
      <alignment horizontal="center" readingOrder="0"/>
    </xf>
    <xf borderId="12" fillId="0" fontId="1" numFmtId="11" xfId="0" applyAlignment="1" applyBorder="1" applyFont="1" applyNumberFormat="1">
      <alignment readingOrder="0"/>
    </xf>
    <xf borderId="12" fillId="2" fontId="2" numFmtId="11" xfId="0" applyAlignment="1" applyBorder="1" applyFont="1" applyNumberFormat="1">
      <alignment readingOrder="0"/>
    </xf>
    <xf borderId="12" fillId="6" fontId="1" numFmtId="11" xfId="0" applyBorder="1" applyFont="1" applyNumberFormat="1"/>
    <xf borderId="0" fillId="7" fontId="1" numFmtId="11" xfId="0" applyFont="1" applyNumberFormat="1"/>
    <xf borderId="0" fillId="7" fontId="1" numFmtId="0" xfId="0" applyFont="1"/>
    <xf borderId="4" fillId="0" fontId="1" numFmtId="0" xfId="0" applyBorder="1" applyFont="1"/>
    <xf borderId="6" fillId="0" fontId="1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Border="1" applyFont="1"/>
    <xf borderId="8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7" fillId="0" fontId="1" numFmtId="11" xfId="0" applyAlignment="1" applyBorder="1" applyFont="1" applyNumberForma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ExR90LdbjzxVkKfN7rRhjrQGwM1P3Qm" TargetMode="External"/><Relationship Id="rId42" Type="http://schemas.openxmlformats.org/officeDocument/2006/relationships/hyperlink" Target="https://drive.google.com/open?id=1vHhpT-UyEokU2VUOG6oUrTUtiMLxOf_K" TargetMode="External"/><Relationship Id="rId41" Type="http://schemas.openxmlformats.org/officeDocument/2006/relationships/hyperlink" Target="https://drive.google.com/open?id=1vHhpT-UyEokU2VUOG6oUrTUtiMLxOf_K" TargetMode="External"/><Relationship Id="rId44" Type="http://schemas.openxmlformats.org/officeDocument/2006/relationships/hyperlink" Target="https://drive.google.com/open?id=1vHhpT-UyEokU2VUOG6oUrTUtiMLxOf_K" TargetMode="External"/><Relationship Id="rId43" Type="http://schemas.openxmlformats.org/officeDocument/2006/relationships/hyperlink" Target="https://drive.google.com/open?id=1vHhpT-UyEokU2VUOG6oUrTUtiMLxOf_K" TargetMode="External"/><Relationship Id="rId46" Type="http://schemas.openxmlformats.org/officeDocument/2006/relationships/hyperlink" Target="https://iestbattery.com/activation-energy-arrhenius-plot-conductivity-battery/" TargetMode="External"/><Relationship Id="rId45" Type="http://schemas.openxmlformats.org/officeDocument/2006/relationships/hyperlink" Target="https://iestbattery.com/activation-energy-arrhenius-plot-conductivity-battery/" TargetMode="External"/><Relationship Id="rId1" Type="http://schemas.openxmlformats.org/officeDocument/2006/relationships/hyperlink" Target="https://drive.google.com/open?id=1vHhpT-UyEokU2VUOG6oUrTUtiMLxOf_K" TargetMode="External"/><Relationship Id="rId2" Type="http://schemas.openxmlformats.org/officeDocument/2006/relationships/hyperlink" Target="https://drive.google.com/open?id=1vHhpT-UyEokU2VUOG6oUrTUtiMLxOf_K" TargetMode="External"/><Relationship Id="rId3" Type="http://schemas.openxmlformats.org/officeDocument/2006/relationships/hyperlink" Target="https://drive.google.com/open?id=1vHhpT-UyEokU2VUOG6oUrTUtiMLxOf_K" TargetMode="External"/><Relationship Id="rId4" Type="http://schemas.openxmlformats.org/officeDocument/2006/relationships/hyperlink" Target="https://drive.google.com/open?id=1vHhpT-UyEokU2VUOG6oUrTUtiMLxOf_K" TargetMode="External"/><Relationship Id="rId9" Type="http://schemas.openxmlformats.org/officeDocument/2006/relationships/hyperlink" Target="https://drive.google.com/open?id=1vHhpT-UyEokU2VUOG6oUrTUtiMLxOf_K" TargetMode="External"/><Relationship Id="rId48" Type="http://schemas.openxmlformats.org/officeDocument/2006/relationships/hyperlink" Target="https://drive.google.com/open?id=1vHhpT-UyEokU2VUOG6oUrTUtiMLxOf_K" TargetMode="External"/><Relationship Id="rId47" Type="http://schemas.openxmlformats.org/officeDocument/2006/relationships/hyperlink" Target="https://drive.google.com/open?id=1vHhpT-UyEokU2VUOG6oUrTUtiMLxOf_K" TargetMode="External"/><Relationship Id="rId49" Type="http://schemas.openxmlformats.org/officeDocument/2006/relationships/hyperlink" Target="https://drive.google.com/open?id=1vHhpT-UyEokU2VUOG6oUrTUtiMLxOf_K" TargetMode="External"/><Relationship Id="rId5" Type="http://schemas.openxmlformats.org/officeDocument/2006/relationships/hyperlink" Target="https://drive.google.com/open?id=1vHhpT-UyEokU2VUOG6oUrTUtiMLxOf_K" TargetMode="External"/><Relationship Id="rId6" Type="http://schemas.openxmlformats.org/officeDocument/2006/relationships/hyperlink" Target="https://drive.google.com/open?id=1vHhpT-UyEokU2VUOG6oUrTUtiMLxOf_K" TargetMode="External"/><Relationship Id="rId7" Type="http://schemas.openxmlformats.org/officeDocument/2006/relationships/hyperlink" Target="https://drive.google.com/open?id=1vHhpT-UyEokU2VUOG6oUrTUtiMLxOf_K" TargetMode="External"/><Relationship Id="rId8" Type="http://schemas.openxmlformats.org/officeDocument/2006/relationships/hyperlink" Target="https://drive.google.com/open?id=1NExR90LdbjzxVkKfN7rRhjrQGwM1P3Qm" TargetMode="External"/><Relationship Id="rId31" Type="http://schemas.openxmlformats.org/officeDocument/2006/relationships/hyperlink" Target="https://drive.google.com/open?id=1AFPYdJ0tjm9Se_QR70EcAERtOBa25cpa" TargetMode="External"/><Relationship Id="rId30" Type="http://schemas.openxmlformats.org/officeDocument/2006/relationships/hyperlink" Target="https://drive.google.com/open?id=1AFPYdJ0tjm9Se_QR70EcAERtOBa25cpa" TargetMode="External"/><Relationship Id="rId33" Type="http://schemas.openxmlformats.org/officeDocument/2006/relationships/hyperlink" Target="https://drive.google.com/open?id=1vHhpT-UyEokU2VUOG6oUrTUtiMLxOf_K" TargetMode="External"/><Relationship Id="rId32" Type="http://schemas.openxmlformats.org/officeDocument/2006/relationships/hyperlink" Target="https://drive.google.com/open?id=1vHhpT-UyEokU2VUOG6oUrTUtiMLxOf_K" TargetMode="External"/><Relationship Id="rId35" Type="http://schemas.openxmlformats.org/officeDocument/2006/relationships/hyperlink" Target="https://drive.google.com/open?id=1AFPYdJ0tjm9Se_QR70EcAERtOBa25cpa" TargetMode="External"/><Relationship Id="rId34" Type="http://schemas.openxmlformats.org/officeDocument/2006/relationships/hyperlink" Target="https://drive.google.com/open?id=1vHhpT-UyEokU2VUOG6oUrTUtiMLxOf_K" TargetMode="External"/><Relationship Id="rId37" Type="http://schemas.openxmlformats.org/officeDocument/2006/relationships/hyperlink" Target="https://drive.google.com/open?id=1vHhpT-UyEokU2VUOG6oUrTUtiMLxOf_K" TargetMode="External"/><Relationship Id="rId36" Type="http://schemas.openxmlformats.org/officeDocument/2006/relationships/hyperlink" Target="https://drive.google.com/open?id=1JKR2vBTsAYsyHu0uxiJORfaxgElMNgKL" TargetMode="External"/><Relationship Id="rId39" Type="http://schemas.openxmlformats.org/officeDocument/2006/relationships/hyperlink" Target="https://drive.google.com/open?id=1NExR90LdbjzxVkKfN7rRhjrQGwM1P3Qm" TargetMode="External"/><Relationship Id="rId38" Type="http://schemas.openxmlformats.org/officeDocument/2006/relationships/hyperlink" Target="https://drive.google.com/open?id=1JKR2vBTsAYsyHu0uxiJORfaxgElMNgKL" TargetMode="External"/><Relationship Id="rId20" Type="http://schemas.openxmlformats.org/officeDocument/2006/relationships/hyperlink" Target="https://drive.google.com/open?id=1NExR90LdbjzxVkKfN7rRhjrQGwM1P3Qm" TargetMode="External"/><Relationship Id="rId22" Type="http://schemas.openxmlformats.org/officeDocument/2006/relationships/hyperlink" Target="https://drive.google.com/open?id=1NExR90LdbjzxVkKfN7rRhjrQGwM1P3Qm" TargetMode="External"/><Relationship Id="rId21" Type="http://schemas.openxmlformats.org/officeDocument/2006/relationships/hyperlink" Target="https://drive.google.com/open?id=1vHhpT-UyEokU2VUOG6oUrTUtiMLxOf_K" TargetMode="External"/><Relationship Id="rId24" Type="http://schemas.openxmlformats.org/officeDocument/2006/relationships/hyperlink" Target="https://drive.google.com/open?id=1vHhpT-UyEokU2VUOG6oUrTUtiMLxOf_K" TargetMode="External"/><Relationship Id="rId23" Type="http://schemas.openxmlformats.org/officeDocument/2006/relationships/hyperlink" Target="https://drive.google.com/open?id=1vHhpT-UyEokU2VUOG6oUrTUtiMLxOf_K" TargetMode="External"/><Relationship Id="rId26" Type="http://schemas.openxmlformats.org/officeDocument/2006/relationships/hyperlink" Target="https://drive.google.com/open?id=1AFPYdJ0tjm9Se_QR70EcAERtOBa25cpa" TargetMode="External"/><Relationship Id="rId25" Type="http://schemas.openxmlformats.org/officeDocument/2006/relationships/hyperlink" Target="https://drive.google.com/open?id=1AFPYdJ0tjm9Se_QR70EcAERtOBa25cpa" TargetMode="External"/><Relationship Id="rId28" Type="http://schemas.openxmlformats.org/officeDocument/2006/relationships/hyperlink" Target="https://drive.google.com/open?id=1AFPYdJ0tjm9Se_QR70EcAERtOBa25cpa" TargetMode="External"/><Relationship Id="rId27" Type="http://schemas.openxmlformats.org/officeDocument/2006/relationships/hyperlink" Target="https://drive.google.com/open?id=1NExR90LdbjzxVkKfN7rRhjrQGwM1P3Qm" TargetMode="External"/><Relationship Id="rId29" Type="http://schemas.openxmlformats.org/officeDocument/2006/relationships/hyperlink" Target="https://drive.google.com/open?id=1AFPYdJ0tjm9Se_QR70EcAERtOBa25cpa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drive.google.com/open?id=1vHhpT-UyEokU2VUOG6oUrTUtiMLxOf_K" TargetMode="External"/><Relationship Id="rId10" Type="http://schemas.openxmlformats.org/officeDocument/2006/relationships/hyperlink" Target="https://drive.google.com/open?id=1NExR90LdbjzxVkKfN7rRhjrQGwM1P3Qm" TargetMode="External"/><Relationship Id="rId13" Type="http://schemas.openxmlformats.org/officeDocument/2006/relationships/hyperlink" Target="https://drive.google.com/open?id=1vHhpT-UyEokU2VUOG6oUrTUtiMLxOf_K" TargetMode="External"/><Relationship Id="rId12" Type="http://schemas.openxmlformats.org/officeDocument/2006/relationships/hyperlink" Target="https://drive.google.com/open?id=1NExR90LdbjzxVkKfN7rRhjrQGwM1P3Qm" TargetMode="External"/><Relationship Id="rId15" Type="http://schemas.openxmlformats.org/officeDocument/2006/relationships/hyperlink" Target="https://drive.google.com/open?id=1vHhpT-UyEokU2VUOG6oUrTUtiMLxOf_K" TargetMode="External"/><Relationship Id="rId14" Type="http://schemas.openxmlformats.org/officeDocument/2006/relationships/hyperlink" Target="https://drive.google.com/open?id=1NExR90LdbjzxVkKfN7rRhjrQGwM1P3Qm" TargetMode="External"/><Relationship Id="rId17" Type="http://schemas.openxmlformats.org/officeDocument/2006/relationships/hyperlink" Target="https://drive.google.com/open?id=1vHhpT-UyEokU2VUOG6oUrTUtiMLxOf_K" TargetMode="External"/><Relationship Id="rId16" Type="http://schemas.openxmlformats.org/officeDocument/2006/relationships/hyperlink" Target="https://drive.google.com/open?id=1NExR90LdbjzxVkKfN7rRhjrQGwM1P3Qm" TargetMode="External"/><Relationship Id="rId19" Type="http://schemas.openxmlformats.org/officeDocument/2006/relationships/hyperlink" Target="https://drive.google.com/open?id=1vHhpT-UyEokU2VUOG6oUrTUtiMLxOf_K" TargetMode="External"/><Relationship Id="rId18" Type="http://schemas.openxmlformats.org/officeDocument/2006/relationships/hyperlink" Target="https://drive.google.com/open?id=1NExR90LdbjzxVkKfN7rRhjrQGwM1P3Q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ExR90LdbjzxVkKfN7rRhjrQGwM1P3Qm" TargetMode="External"/><Relationship Id="rId2" Type="http://schemas.openxmlformats.org/officeDocument/2006/relationships/hyperlink" Target="https://drive.google.com/open?id=1NExR90LdbjzxVkKfN7rRhjrQGwM1P3Qm" TargetMode="External"/><Relationship Id="rId3" Type="http://schemas.openxmlformats.org/officeDocument/2006/relationships/hyperlink" Target="https://drive.google.com/open?id=1aDbrOZ8P8Vr8qX2a-G0wO9T5BW_aP1AX" TargetMode="External"/><Relationship Id="rId4" Type="http://schemas.openxmlformats.org/officeDocument/2006/relationships/hyperlink" Target="https://iestbattery.com/activation-energy-arrhenius-plot-conductivity-battery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9.88"/>
    <col customWidth="1" min="3" max="3" width="11.13"/>
    <col customWidth="1" min="4" max="4" width="14.88"/>
    <col customWidth="1" min="5" max="5" width="15.38"/>
    <col customWidth="1" min="6" max="6" width="9.0"/>
    <col customWidth="1" min="8" max="8" width="37.63"/>
  </cols>
  <sheetData>
    <row r="1">
      <c r="A1" s="1" t="s">
        <v>0</v>
      </c>
    </row>
    <row r="2">
      <c r="C2" s="1" t="s">
        <v>1</v>
      </c>
      <c r="D2" s="1" t="s">
        <v>2</v>
      </c>
      <c r="E2" s="1" t="s">
        <v>3</v>
      </c>
    </row>
    <row r="3">
      <c r="B3" s="2" t="s">
        <v>4</v>
      </c>
      <c r="C3" s="3" t="s">
        <v>5</v>
      </c>
      <c r="D3" s="4">
        <v>3.4E-5</v>
      </c>
      <c r="E3" s="1" t="s">
        <v>6</v>
      </c>
      <c r="F3" s="5" t="s">
        <v>7</v>
      </c>
    </row>
    <row r="4">
      <c r="A4" s="6"/>
      <c r="B4" s="2" t="s">
        <v>8</v>
      </c>
      <c r="F4" s="7" t="s">
        <v>9</v>
      </c>
    </row>
    <row r="5">
      <c r="B5" s="2" t="s">
        <v>10</v>
      </c>
      <c r="C5" s="3" t="s">
        <v>5</v>
      </c>
      <c r="D5" s="4">
        <v>2.5E-5</v>
      </c>
      <c r="E5" s="1" t="s">
        <v>6</v>
      </c>
      <c r="F5" s="8" t="s">
        <v>11</v>
      </c>
    </row>
    <row r="6">
      <c r="A6" s="6"/>
      <c r="B6" s="2" t="s">
        <v>12</v>
      </c>
      <c r="F6" s="9" t="s">
        <v>13</v>
      </c>
    </row>
    <row r="7">
      <c r="B7" s="2" t="s">
        <v>14</v>
      </c>
      <c r="C7" s="3" t="s">
        <v>5</v>
      </c>
      <c r="D7" s="4">
        <v>8.0E-5</v>
      </c>
      <c r="E7" s="1" t="s">
        <v>6</v>
      </c>
      <c r="F7" s="10" t="s">
        <v>15</v>
      </c>
      <c r="L7" s="2"/>
      <c r="M7" s="11"/>
    </row>
    <row r="8">
      <c r="A8" s="6"/>
      <c r="B8" s="2" t="s">
        <v>16</v>
      </c>
      <c r="L8" s="2"/>
      <c r="M8" s="11"/>
    </row>
    <row r="9">
      <c r="A9" s="12"/>
      <c r="B9" s="2" t="s">
        <v>17</v>
      </c>
      <c r="C9" s="3" t="s">
        <v>5</v>
      </c>
      <c r="D9" s="1">
        <v>0.18</v>
      </c>
      <c r="E9" s="1" t="s">
        <v>18</v>
      </c>
      <c r="L9" s="2"/>
      <c r="M9" s="11"/>
    </row>
    <row r="10">
      <c r="B10" s="2" t="s">
        <v>19</v>
      </c>
      <c r="C10" s="3" t="s">
        <v>5</v>
      </c>
      <c r="D10" s="4">
        <v>5.0E-6</v>
      </c>
      <c r="E10" s="1" t="s">
        <v>6</v>
      </c>
      <c r="L10" s="2"/>
      <c r="M10" s="11"/>
    </row>
    <row r="11">
      <c r="A11" s="6"/>
      <c r="B11" s="2" t="s">
        <v>20</v>
      </c>
      <c r="L11" s="2"/>
      <c r="M11" s="11"/>
    </row>
    <row r="12">
      <c r="B12" s="2" t="s">
        <v>21</v>
      </c>
      <c r="C12" s="3" t="s">
        <v>5</v>
      </c>
      <c r="D12" s="4">
        <v>5.0E-8</v>
      </c>
      <c r="E12" s="1" t="s">
        <v>6</v>
      </c>
      <c r="L12" s="2"/>
      <c r="M12" s="11"/>
    </row>
    <row r="13">
      <c r="A13" s="6"/>
      <c r="B13" s="2" t="s">
        <v>22</v>
      </c>
      <c r="F13" s="13" t="s">
        <v>23</v>
      </c>
      <c r="G13" s="14"/>
      <c r="H13" s="15"/>
      <c r="L13" s="2"/>
      <c r="M13" s="11"/>
    </row>
    <row r="14">
      <c r="B14" s="2" t="s">
        <v>24</v>
      </c>
      <c r="C14" s="3" t="s">
        <v>5</v>
      </c>
      <c r="D14" s="1">
        <v>0.58</v>
      </c>
      <c r="F14" s="16">
        <v>0.55</v>
      </c>
      <c r="G14" s="17">
        <v>0.56</v>
      </c>
      <c r="H14" s="18" t="s">
        <v>25</v>
      </c>
      <c r="L14" s="2"/>
      <c r="M14" s="11"/>
    </row>
    <row r="15">
      <c r="B15" s="2" t="s">
        <v>26</v>
      </c>
      <c r="C15" s="3" t="s">
        <v>5</v>
      </c>
      <c r="D15" s="1">
        <v>0.374</v>
      </c>
      <c r="F15" s="19">
        <v>0.428</v>
      </c>
      <c r="G15" s="1">
        <v>0.435</v>
      </c>
      <c r="H15" s="20" t="s">
        <v>25</v>
      </c>
    </row>
    <row r="16">
      <c r="A16" s="6"/>
      <c r="B16" s="2" t="s">
        <v>27</v>
      </c>
      <c r="F16" s="21"/>
      <c r="H16" s="22"/>
    </row>
    <row r="17">
      <c r="B17" s="2" t="s">
        <v>28</v>
      </c>
      <c r="C17" s="3" t="s">
        <v>5</v>
      </c>
      <c r="D17" s="1">
        <v>30555.0</v>
      </c>
      <c r="E17" s="1" t="s">
        <v>29</v>
      </c>
      <c r="F17" s="19">
        <v>31370.0</v>
      </c>
      <c r="H17" s="20" t="s">
        <v>25</v>
      </c>
    </row>
    <row r="18">
      <c r="B18" s="2" t="s">
        <v>30</v>
      </c>
      <c r="C18" s="3" t="s">
        <v>5</v>
      </c>
      <c r="D18" s="1">
        <v>0.0132</v>
      </c>
      <c r="F18" s="19">
        <v>0.0</v>
      </c>
      <c r="H18" s="20" t="s">
        <v>25</v>
      </c>
    </row>
    <row r="19">
      <c r="B19" s="2" t="s">
        <v>31</v>
      </c>
      <c r="C19" s="3" t="s">
        <v>5</v>
      </c>
      <c r="D19" s="1">
        <v>0.811</v>
      </c>
      <c r="F19" s="19">
        <v>0.8</v>
      </c>
      <c r="G19" s="1">
        <v>0.9</v>
      </c>
      <c r="H19" s="20" t="s">
        <v>25</v>
      </c>
    </row>
    <row r="20">
      <c r="B20" s="2" t="s">
        <v>32</v>
      </c>
      <c r="C20" s="3" t="s">
        <v>5</v>
      </c>
      <c r="D20" s="1">
        <v>22806.0</v>
      </c>
      <c r="E20" s="1" t="s">
        <v>29</v>
      </c>
      <c r="F20" s="19">
        <v>22806.0</v>
      </c>
      <c r="H20" s="20" t="s">
        <v>25</v>
      </c>
    </row>
    <row r="21">
      <c r="B21" s="2" t="s">
        <v>33</v>
      </c>
      <c r="C21" s="3" t="s">
        <v>5</v>
      </c>
      <c r="D21" s="1">
        <v>0.74</v>
      </c>
      <c r="F21" s="19">
        <v>0.76</v>
      </c>
      <c r="G21" s="1">
        <v>0.8</v>
      </c>
      <c r="H21" s="20" t="s">
        <v>25</v>
      </c>
    </row>
    <row r="22">
      <c r="B22" s="2" t="s">
        <v>34</v>
      </c>
      <c r="C22" s="3" t="s">
        <v>5</v>
      </c>
      <c r="D22" s="1">
        <v>0.035</v>
      </c>
      <c r="F22" s="23">
        <v>0.03</v>
      </c>
      <c r="G22" s="24"/>
      <c r="H22" s="25" t="s">
        <v>25</v>
      </c>
    </row>
    <row r="23">
      <c r="B23" s="2" t="s">
        <v>35</v>
      </c>
      <c r="C23" s="3" t="s">
        <v>5</v>
      </c>
      <c r="D23" s="4">
        <v>3.0E-15</v>
      </c>
      <c r="E23" s="1" t="s">
        <v>36</v>
      </c>
    </row>
    <row r="24">
      <c r="B24" s="2" t="s">
        <v>37</v>
      </c>
      <c r="C24" s="3" t="s">
        <v>5</v>
      </c>
      <c r="D24" s="4">
        <v>5.9E-20</v>
      </c>
      <c r="E24" s="1" t="s">
        <v>36</v>
      </c>
    </row>
    <row r="25">
      <c r="A25" s="12"/>
      <c r="B25" s="26" t="s">
        <v>38</v>
      </c>
      <c r="C25" s="3" t="s">
        <v>39</v>
      </c>
      <c r="D25" s="1">
        <v>46.4758</v>
      </c>
      <c r="E25" s="1" t="s">
        <v>40</v>
      </c>
      <c r="F25" s="11"/>
    </row>
    <row r="26">
      <c r="A26" s="12"/>
      <c r="B26" s="26" t="s">
        <v>41</v>
      </c>
      <c r="C26" s="3" t="s">
        <v>39</v>
      </c>
      <c r="D26" s="1">
        <v>3.5355</v>
      </c>
      <c r="E26" s="1" t="s">
        <v>40</v>
      </c>
      <c r="F26" s="11"/>
      <c r="J26" s="11"/>
      <c r="K26" s="11"/>
    </row>
    <row r="27">
      <c r="A27" s="12"/>
      <c r="B27" s="2" t="s">
        <v>42</v>
      </c>
      <c r="C27" s="3" t="s">
        <v>25</v>
      </c>
      <c r="D27" s="27">
        <v>7.680000000000001E-5</v>
      </c>
      <c r="E27" s="1" t="s">
        <v>43</v>
      </c>
    </row>
    <row r="28">
      <c r="A28" s="12"/>
      <c r="B28" s="2" t="s">
        <v>44</v>
      </c>
      <c r="C28" s="3" t="s">
        <v>39</v>
      </c>
      <c r="D28" s="1">
        <v>0.3</v>
      </c>
    </row>
    <row r="29">
      <c r="A29" s="12"/>
      <c r="B29" s="2" t="s">
        <v>45</v>
      </c>
      <c r="C29" s="3" t="s">
        <v>39</v>
      </c>
      <c r="D29" s="1">
        <v>1.0</v>
      </c>
    </row>
    <row r="30">
      <c r="A30" s="12"/>
      <c r="B30" s="2" t="s">
        <v>46</v>
      </c>
      <c r="C30" s="3" t="s">
        <v>39</v>
      </c>
      <c r="D30" s="1">
        <v>0.3</v>
      </c>
    </row>
    <row r="31">
      <c r="B31" s="26" t="s">
        <v>47</v>
      </c>
      <c r="C31" s="3" t="s">
        <v>39</v>
      </c>
      <c r="D31" s="1">
        <v>0.29</v>
      </c>
      <c r="E31" s="1" t="s">
        <v>40</v>
      </c>
    </row>
    <row r="32">
      <c r="B32" s="2" t="s">
        <v>48</v>
      </c>
      <c r="C32" s="3" t="s">
        <v>5</v>
      </c>
      <c r="D32" s="1">
        <v>1.5</v>
      </c>
    </row>
    <row r="33">
      <c r="B33" s="2" t="s">
        <v>49</v>
      </c>
      <c r="C33" s="3" t="s">
        <v>5</v>
      </c>
      <c r="D33" s="1">
        <v>1.5</v>
      </c>
    </row>
    <row r="34">
      <c r="B34" s="2" t="s">
        <v>50</v>
      </c>
      <c r="C34" s="3" t="s">
        <v>5</v>
      </c>
      <c r="D34" s="1">
        <v>1.5</v>
      </c>
    </row>
    <row r="35">
      <c r="A35" s="28"/>
      <c r="B35" s="2" t="s">
        <v>51</v>
      </c>
      <c r="C35" s="3" t="s">
        <v>39</v>
      </c>
      <c r="D35" s="1">
        <v>0.6</v>
      </c>
      <c r="F35" s="13">
        <v>0.364</v>
      </c>
      <c r="G35" s="29" t="s">
        <v>52</v>
      </c>
      <c r="H35" s="30"/>
      <c r="I35" s="30"/>
      <c r="J35" s="31"/>
    </row>
    <row r="36">
      <c r="B36" s="2" t="s">
        <v>53</v>
      </c>
      <c r="C36" s="3" t="s">
        <v>5</v>
      </c>
      <c r="D36" s="4">
        <v>2.0E-10</v>
      </c>
      <c r="E36" s="1" t="s">
        <v>36</v>
      </c>
    </row>
    <row r="37">
      <c r="B37" s="2" t="s">
        <v>54</v>
      </c>
      <c r="C37" s="3" t="s">
        <v>52</v>
      </c>
      <c r="D37" s="4">
        <v>5.031E-11</v>
      </c>
      <c r="E37" s="1" t="s">
        <v>55</v>
      </c>
      <c r="F37" s="32">
        <v>8.19E-12</v>
      </c>
      <c r="G37" s="29" t="s">
        <v>25</v>
      </c>
      <c r="H37" s="30"/>
      <c r="I37" s="31"/>
    </row>
    <row r="38">
      <c r="B38" s="2" t="s">
        <v>56</v>
      </c>
      <c r="C38" s="3" t="s">
        <v>25</v>
      </c>
      <c r="D38" s="33">
        <v>5.92747E-14</v>
      </c>
      <c r="E38" s="1" t="s">
        <v>55</v>
      </c>
    </row>
    <row r="39">
      <c r="B39" s="2" t="s">
        <v>57</v>
      </c>
      <c r="C39" s="3" t="s">
        <v>5</v>
      </c>
      <c r="D39" s="34">
        <f>1100*0.07</f>
        <v>77</v>
      </c>
      <c r="E39" s="1" t="s">
        <v>58</v>
      </c>
    </row>
    <row r="40">
      <c r="B40" s="2" t="s">
        <v>59</v>
      </c>
      <c r="D40" s="1">
        <v>298.15</v>
      </c>
      <c r="E40" s="1" t="s">
        <v>60</v>
      </c>
    </row>
    <row r="41">
      <c r="A41" s="35"/>
      <c r="B41" s="2" t="s">
        <v>61</v>
      </c>
      <c r="C41" s="3" t="s">
        <v>5</v>
      </c>
      <c r="D41" s="1">
        <v>35000.0</v>
      </c>
      <c r="E41" s="1" t="s">
        <v>62</v>
      </c>
    </row>
    <row r="42">
      <c r="A42" s="35"/>
      <c r="B42" s="2" t="s">
        <v>63</v>
      </c>
      <c r="C42" s="3" t="s">
        <v>5</v>
      </c>
      <c r="D42" s="1">
        <v>39000.0</v>
      </c>
      <c r="E42" s="1" t="s">
        <v>62</v>
      </c>
      <c r="F42" s="4"/>
      <c r="P42" s="1">
        <v>50700.0</v>
      </c>
    </row>
    <row r="43">
      <c r="B43" s="2" t="s">
        <v>64</v>
      </c>
      <c r="C43" s="3" t="s">
        <v>5</v>
      </c>
      <c r="D43" s="1">
        <v>26600.0</v>
      </c>
      <c r="E43" s="1" t="s">
        <v>62</v>
      </c>
    </row>
    <row r="44">
      <c r="A44" s="12"/>
      <c r="B44" s="26" t="s">
        <v>65</v>
      </c>
      <c r="C44" s="36" t="s">
        <v>66</v>
      </c>
      <c r="D44" s="34">
        <v>2412.125</v>
      </c>
      <c r="E44" s="1" t="s">
        <v>62</v>
      </c>
    </row>
    <row r="45">
      <c r="A45" s="12"/>
      <c r="B45" s="26" t="s">
        <v>67</v>
      </c>
      <c r="C45" s="36" t="s">
        <v>66</v>
      </c>
      <c r="D45" s="34">
        <v>11192.26</v>
      </c>
      <c r="E45" s="1" t="s">
        <v>62</v>
      </c>
    </row>
    <row r="46">
      <c r="B46" s="2" t="s">
        <v>68</v>
      </c>
      <c r="C46" s="3" t="s">
        <v>5</v>
      </c>
      <c r="D46" s="1">
        <v>11000.0</v>
      </c>
      <c r="E46" s="1" t="s">
        <v>62</v>
      </c>
    </row>
    <row r="47">
      <c r="A47" s="35"/>
      <c r="B47" s="2" t="s">
        <v>69</v>
      </c>
      <c r="C47" s="3" t="s">
        <v>5</v>
      </c>
      <c r="D47" s="1">
        <v>20000.0</v>
      </c>
      <c r="E47" s="1" t="s">
        <v>62</v>
      </c>
    </row>
    <row r="48">
      <c r="A48" s="35"/>
      <c r="B48" s="2" t="s">
        <v>70</v>
      </c>
      <c r="C48" s="3" t="s">
        <v>5</v>
      </c>
      <c r="D48" s="1">
        <v>13000.0</v>
      </c>
      <c r="E48" s="1" t="s">
        <v>62</v>
      </c>
    </row>
    <row r="52">
      <c r="B52" s="37"/>
    </row>
    <row r="54">
      <c r="B54" s="37"/>
    </row>
    <row r="56">
      <c r="B56" s="37"/>
    </row>
    <row r="58">
      <c r="B58" s="37"/>
    </row>
    <row r="60">
      <c r="B60" s="37"/>
    </row>
    <row r="62">
      <c r="B62" s="37"/>
    </row>
    <row r="64">
      <c r="B64" s="37"/>
    </row>
    <row r="66">
      <c r="B66" s="37"/>
    </row>
    <row r="68">
      <c r="B68" s="37"/>
    </row>
    <row r="70">
      <c r="B70" s="37"/>
    </row>
    <row r="72">
      <c r="B72" s="37"/>
    </row>
    <row r="74">
      <c r="B74" s="37"/>
    </row>
    <row r="76">
      <c r="B76" s="37"/>
    </row>
    <row r="78">
      <c r="B78" s="37"/>
    </row>
    <row r="80">
      <c r="B80" s="37"/>
    </row>
    <row r="82">
      <c r="B82" s="37"/>
    </row>
    <row r="84">
      <c r="B84" s="37"/>
    </row>
    <row r="86">
      <c r="B86" s="37"/>
    </row>
  </sheetData>
  <mergeCells count="7">
    <mergeCell ref="A1:K1"/>
    <mergeCell ref="F3:H3"/>
    <mergeCell ref="F4:H4"/>
    <mergeCell ref="F5:H5"/>
    <mergeCell ref="F6:H6"/>
    <mergeCell ref="F7:H7"/>
    <mergeCell ref="F13:H13"/>
  </mergeCells>
  <hyperlinks>
    <hyperlink r:id="rId1" ref="C3"/>
    <hyperlink r:id="rId2" ref="C5"/>
    <hyperlink r:id="rId3" ref="C7"/>
    <hyperlink r:id="rId4" ref="C9"/>
    <hyperlink r:id="rId5" ref="C10"/>
    <hyperlink r:id="rId6" ref="C12"/>
    <hyperlink r:id="rId7" ref="C14"/>
    <hyperlink r:id="rId8" ref="H14"/>
    <hyperlink r:id="rId9" ref="C15"/>
    <hyperlink r:id="rId10" ref="H15"/>
    <hyperlink r:id="rId11" ref="C17"/>
    <hyperlink r:id="rId12" ref="H17"/>
    <hyperlink r:id="rId13" ref="C18"/>
    <hyperlink r:id="rId14" ref="H18"/>
    <hyperlink r:id="rId15" ref="C19"/>
    <hyperlink r:id="rId16" ref="H19"/>
    <hyperlink r:id="rId17" ref="C20"/>
    <hyperlink r:id="rId18" ref="H20"/>
    <hyperlink r:id="rId19" ref="C21"/>
    <hyperlink r:id="rId20" ref="H21"/>
    <hyperlink r:id="rId21" ref="C22"/>
    <hyperlink r:id="rId22" ref="H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G35"/>
    <hyperlink r:id="rId37" ref="C36"/>
    <hyperlink r:id="rId38" ref="C37"/>
    <hyperlink r:id="rId39" ref="G37"/>
    <hyperlink r:id="rId40" ref="C38"/>
    <hyperlink r:id="rId41" ref="C39"/>
    <hyperlink r:id="rId42" ref="C41"/>
    <hyperlink r:id="rId43" ref="C42"/>
    <hyperlink r:id="rId44" ref="C43"/>
    <hyperlink r:id="rId45" ref="C44"/>
    <hyperlink r:id="rId46" ref="C45"/>
    <hyperlink r:id="rId47" ref="C46"/>
    <hyperlink r:id="rId48" ref="C47"/>
    <hyperlink r:id="rId49" ref="C48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5" max="5" width="17.0"/>
    <col customWidth="1" min="7" max="7" width="17.88"/>
    <col customWidth="1" min="8" max="8" width="24.5"/>
  </cols>
  <sheetData>
    <row r="2">
      <c r="B2" s="13" t="s">
        <v>71</v>
      </c>
      <c r="C2" s="15"/>
      <c r="D2" s="13" t="s">
        <v>72</v>
      </c>
      <c r="E2" s="14"/>
      <c r="F2" s="15"/>
      <c r="G2" s="38" t="s">
        <v>25</v>
      </c>
      <c r="H2" s="15"/>
    </row>
    <row r="3">
      <c r="B3" s="39" t="s">
        <v>73</v>
      </c>
      <c r="C3" s="39" t="s">
        <v>74</v>
      </c>
      <c r="D3" s="40" t="s">
        <v>75</v>
      </c>
      <c r="E3" s="40" t="s">
        <v>76</v>
      </c>
      <c r="F3" s="40" t="s">
        <v>77</v>
      </c>
      <c r="G3" s="40" t="s">
        <v>78</v>
      </c>
    </row>
    <row r="4">
      <c r="B4" s="41">
        <v>2.3</v>
      </c>
      <c r="C4" s="42">
        <v>1.0</v>
      </c>
      <c r="D4" s="43">
        <v>4.3E-16</v>
      </c>
      <c r="E4" s="44">
        <v>2.0E-14</v>
      </c>
      <c r="F4" s="44">
        <v>1.1E-14</v>
      </c>
      <c r="G4" s="45">
        <f>(D4*((C4*B4)^2))+(E4*ABS(B4*C4))+(F4)</f>
        <v>0</v>
      </c>
      <c r="H4" s="40" t="s">
        <v>55</v>
      </c>
    </row>
    <row r="6">
      <c r="B6" s="3" t="s">
        <v>25</v>
      </c>
      <c r="E6" s="3" t="s">
        <v>79</v>
      </c>
      <c r="H6" s="36" t="s">
        <v>66</v>
      </c>
    </row>
    <row r="7">
      <c r="B7" s="1" t="s">
        <v>80</v>
      </c>
      <c r="C7" s="1">
        <v>0.4</v>
      </c>
      <c r="E7" s="1" t="s">
        <v>81</v>
      </c>
      <c r="F7" s="4">
        <v>4.8E-5</v>
      </c>
      <c r="G7" s="1" t="s">
        <v>82</v>
      </c>
      <c r="H7" s="1" t="s">
        <v>83</v>
      </c>
      <c r="I7" s="1">
        <v>0.116</v>
      </c>
    </row>
    <row r="8">
      <c r="B8" s="1" t="s">
        <v>84</v>
      </c>
      <c r="C8" s="1">
        <v>1.0</v>
      </c>
      <c r="E8" s="1" t="s">
        <v>85</v>
      </c>
      <c r="F8" s="1">
        <v>1.6</v>
      </c>
      <c r="H8" s="1" t="s">
        <v>62</v>
      </c>
      <c r="I8" s="34">
        <f>96485*I7</f>
        <v>11192.26</v>
      </c>
    </row>
    <row r="9">
      <c r="B9" s="1" t="s">
        <v>86</v>
      </c>
      <c r="C9" s="1">
        <v>2.17</v>
      </c>
      <c r="E9" s="1" t="s">
        <v>87</v>
      </c>
      <c r="F9" s="46">
        <f>F7*F8</f>
        <v>0.0000768</v>
      </c>
      <c r="G9" s="1" t="s">
        <v>43</v>
      </c>
      <c r="H9" s="1" t="s">
        <v>88</v>
      </c>
      <c r="I9" s="1">
        <v>0.025</v>
      </c>
    </row>
    <row r="10">
      <c r="B10" s="1" t="s">
        <v>89</v>
      </c>
      <c r="C10" s="1">
        <v>6.96</v>
      </c>
      <c r="H10" s="1" t="s">
        <v>62</v>
      </c>
      <c r="I10" s="34">
        <f>I9*96485</f>
        <v>2412.125</v>
      </c>
    </row>
    <row r="11">
      <c r="B11" s="1" t="s">
        <v>90</v>
      </c>
      <c r="C11" s="34">
        <f>(C10+C9+C7+C8)/4</f>
        <v>2.6325</v>
      </c>
      <c r="D11" s="1" t="s">
        <v>82</v>
      </c>
    </row>
    <row r="12">
      <c r="B12" s="1" t="s">
        <v>85</v>
      </c>
      <c r="C12" s="1">
        <v>0.8</v>
      </c>
    </row>
    <row r="13">
      <c r="B13" s="1" t="s">
        <v>91</v>
      </c>
      <c r="C13" s="47">
        <f>C11/C12</f>
        <v>3.290625</v>
      </c>
      <c r="D13" s="1" t="s">
        <v>92</v>
      </c>
    </row>
    <row r="15">
      <c r="B15" s="48"/>
      <c r="C15" s="49" t="s">
        <v>93</v>
      </c>
      <c r="E15" s="16" t="s">
        <v>94</v>
      </c>
      <c r="F15" s="50"/>
      <c r="G15" s="50"/>
      <c r="H15" s="51"/>
    </row>
    <row r="16">
      <c r="B16" s="19" t="s">
        <v>95</v>
      </c>
      <c r="C16" s="52">
        <v>3.0108</v>
      </c>
      <c r="E16" s="19" t="s">
        <v>96</v>
      </c>
      <c r="F16" s="1" t="s">
        <v>97</v>
      </c>
      <c r="G16" s="1" t="s">
        <v>73</v>
      </c>
      <c r="H16" s="22"/>
    </row>
    <row r="17">
      <c r="B17" s="23" t="s">
        <v>98</v>
      </c>
      <c r="C17" s="53">
        <v>3.515</v>
      </c>
      <c r="E17" s="54">
        <v>483893.515403115</v>
      </c>
      <c r="F17" s="1">
        <v>0.07666666667</v>
      </c>
      <c r="G17" s="1">
        <v>2.32</v>
      </c>
      <c r="H17" s="52" t="s">
        <v>99</v>
      </c>
    </row>
    <row r="18">
      <c r="E18" s="19" t="s">
        <v>100</v>
      </c>
      <c r="F18" s="34">
        <f>G17/30</f>
        <v>0.07733333333</v>
      </c>
      <c r="G18" s="1" t="s">
        <v>101</v>
      </c>
      <c r="H18" s="22"/>
    </row>
    <row r="19">
      <c r="B19" s="16" t="s">
        <v>102</v>
      </c>
      <c r="C19" s="51"/>
      <c r="E19" s="23" t="s">
        <v>103</v>
      </c>
      <c r="F19" s="24">
        <f>G17</f>
        <v>2.32</v>
      </c>
      <c r="G19" s="55" t="s">
        <v>101</v>
      </c>
      <c r="H19" s="56"/>
    </row>
    <row r="20">
      <c r="B20" s="21"/>
      <c r="C20" s="52" t="s">
        <v>104</v>
      </c>
    </row>
    <row r="21">
      <c r="B21" s="19" t="s">
        <v>100</v>
      </c>
      <c r="C21" s="52">
        <v>140000.0</v>
      </c>
    </row>
    <row r="22">
      <c r="B22" s="23" t="s">
        <v>103</v>
      </c>
      <c r="C22" s="53">
        <v>2650.0</v>
      </c>
    </row>
    <row r="24">
      <c r="I24" s="1" t="s">
        <v>105</v>
      </c>
    </row>
  </sheetData>
  <mergeCells count="9">
    <mergeCell ref="B6:C6"/>
    <mergeCell ref="B19:C19"/>
    <mergeCell ref="B2:C2"/>
    <mergeCell ref="D2:F2"/>
    <mergeCell ref="G2:H2"/>
    <mergeCell ref="E6:F6"/>
    <mergeCell ref="H6:I6"/>
    <mergeCell ref="D13:F13"/>
    <mergeCell ref="E15:H15"/>
  </mergeCells>
  <hyperlinks>
    <hyperlink r:id="rId1" ref="G2"/>
    <hyperlink r:id="rId2" ref="B6"/>
    <hyperlink r:id="rId3" ref="E6"/>
    <hyperlink r:id="rId4" ref="H6"/>
  </hyperlinks>
  <drawing r:id="rId5"/>
</worksheet>
</file>